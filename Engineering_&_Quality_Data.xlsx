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hruv\PycharmProjects\Project_V5\"/>
    </mc:Choice>
  </mc:AlternateContent>
  <bookViews>
    <workbookView xWindow="-108" yWindow="-108" windowWidth="23256" windowHeight="12456"/>
  </bookViews>
  <sheets>
    <sheet name="Engineering_Data" sheetId="1" r:id="rId1"/>
    <sheet name="Quality_Data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20" i="1"/>
  <c r="F19" i="1"/>
  <c r="F18" i="1"/>
  <c r="F17" i="1"/>
  <c r="F16" i="1"/>
  <c r="F15" i="1"/>
  <c r="F14" i="1"/>
  <c r="F13" i="1"/>
  <c r="F12" i="1"/>
  <c r="F11" i="1"/>
  <c r="F10" i="1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<sst xmlns="http://schemas.openxmlformats.org/spreadsheetml/2006/main" count="267" uniqueCount="104">
  <si>
    <t>ID</t>
  </si>
  <si>
    <t>Name</t>
  </si>
  <si>
    <t>Type</t>
  </si>
  <si>
    <t>Cost (€)</t>
  </si>
  <si>
    <t>Target</t>
  </si>
  <si>
    <t>OEE</t>
  </si>
  <si>
    <t>Impact_on</t>
  </si>
  <si>
    <t>R1</t>
  </si>
  <si>
    <t>Assembly Worker</t>
  </si>
  <si>
    <t>Resource</t>
  </si>
  <si>
    <t>Standard</t>
  </si>
  <si>
    <t>R2</t>
  </si>
  <si>
    <t>Assembly area</t>
  </si>
  <si>
    <t>R3</t>
  </si>
  <si>
    <t>Tool box</t>
  </si>
  <si>
    <t>R4</t>
  </si>
  <si>
    <t>Crane</t>
  </si>
  <si>
    <t>R5</t>
  </si>
  <si>
    <t>Technical Instructions manual</t>
  </si>
  <si>
    <t>R6</t>
  </si>
  <si>
    <t>Quality Control</t>
  </si>
  <si>
    <t>PR1</t>
  </si>
  <si>
    <t>Prepare Base Structure</t>
  </si>
  <si>
    <t>Process</t>
  </si>
  <si>
    <t>PR2</t>
  </si>
  <si>
    <t>Install cabin</t>
  </si>
  <si>
    <t>PR3</t>
  </si>
  <si>
    <t>Build Rear Support</t>
  </si>
  <si>
    <t>PR4</t>
  </si>
  <si>
    <t>Mount Big Axles</t>
  </si>
  <si>
    <t>PR5</t>
  </si>
  <si>
    <t>Assemble wheels to axle</t>
  </si>
  <si>
    <t>PR6</t>
  </si>
  <si>
    <t>Load Cargo Blocks</t>
  </si>
  <si>
    <t>PR7</t>
  </si>
  <si>
    <t>Function test and inspection</t>
  </si>
  <si>
    <t>P1</t>
  </si>
  <si>
    <t>Product</t>
  </si>
  <si>
    <t>P2</t>
  </si>
  <si>
    <t>Cabin</t>
  </si>
  <si>
    <t>P3</t>
  </si>
  <si>
    <t>Chassis</t>
  </si>
  <si>
    <t>P4</t>
  </si>
  <si>
    <t>Rear Support Frame</t>
  </si>
  <si>
    <t>P5</t>
  </si>
  <si>
    <t>P6</t>
  </si>
  <si>
    <t>Cargo Bed / Load Platform</t>
  </si>
  <si>
    <t>Parameter</t>
  </si>
  <si>
    <t>Threshold</t>
  </si>
  <si>
    <t>Actual_Value</t>
  </si>
  <si>
    <t>Status (OK/NOK)</t>
  </si>
  <si>
    <t>Influence</t>
  </si>
  <si>
    <t>Dependency</t>
  </si>
  <si>
    <t>Performance</t>
  </si>
  <si>
    <t>OK</t>
  </si>
  <si>
    <t>Process Quality</t>
  </si>
  <si>
    <t>Assembly</t>
  </si>
  <si>
    <t>Axle</t>
  </si>
  <si>
    <t>Wheels</t>
  </si>
  <si>
    <t>Rear Frame</t>
  </si>
  <si>
    <t>Inspection</t>
  </si>
  <si>
    <t>Labor</t>
  </si>
  <si>
    <t>Facility</t>
  </si>
  <si>
    <t>Tools</t>
  </si>
  <si>
    <t>Machinery</t>
  </si>
  <si>
    <t>Documentation</t>
  </si>
  <si>
    <t>Total Cost (€)</t>
  </si>
  <si>
    <t>Part of</t>
  </si>
  <si>
    <t>Motion System</t>
  </si>
  <si>
    <t>Body</t>
  </si>
  <si>
    <t xml:space="preserve">KPI </t>
  </si>
  <si>
    <t>Vehicle Stability</t>
  </si>
  <si>
    <t>Driver Safety</t>
  </si>
  <si>
    <t>Structural Integrity</t>
  </si>
  <si>
    <t>Load Support</t>
  </si>
  <si>
    <t>Mobility</t>
  </si>
  <si>
    <t>Load Handling</t>
  </si>
  <si>
    <t>Cabin Mount</t>
  </si>
  <si>
    <t>Wheel Fit</t>
  </si>
  <si>
    <t>Cargo Load</t>
  </si>
  <si>
    <t>Quality Check</t>
  </si>
  <si>
    <t>Workspace</t>
  </si>
  <si>
    <t>Lifting</t>
  </si>
  <si>
    <t>Guidance</t>
  </si>
  <si>
    <t>Quality</t>
  </si>
  <si>
    <t>Strength</t>
  </si>
  <si>
    <t>Load Limit (Kg)</t>
  </si>
  <si>
    <t>Detection Rate (%)</t>
  </si>
  <si>
    <t>Efficiency (%)</t>
  </si>
  <si>
    <t>Utilization (%)</t>
  </si>
  <si>
    <t>Precision (%)</t>
  </si>
  <si>
    <t xml:space="preserve">Axle </t>
  </si>
  <si>
    <t xml:space="preserve">Wheels </t>
  </si>
  <si>
    <t>Fit Accuracy /Tolerance (mm)</t>
  </si>
  <si>
    <t>Gear Tooth Contact Pattern (%)</t>
  </si>
  <si>
    <t>Clarity (%)</t>
  </si>
  <si>
    <t>Load Capacity (T)</t>
  </si>
  <si>
    <t>Rotation Smoothness Minimum (rad/s²)</t>
  </si>
  <si>
    <t>Structural stability</t>
  </si>
  <si>
    <t>Load capacity</t>
  </si>
  <si>
    <t>Torque</t>
  </si>
  <si>
    <t>Product Quality</t>
  </si>
  <si>
    <t>Weight Capacity (T)</t>
  </si>
  <si>
    <t>Number of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</si>
</sst>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H26" sqref="H26"/>
    </sheetView>
  </sheetViews>
  <sheetFormatPr defaultRowHeight="14.4" x14ac:dyDescent="0.3"/>
  <cols>
    <col min="2" max="2" width="25.5546875" bestFit="1" customWidth="1"/>
    <col min="3" max="3" width="8.5546875" bestFit="1" customWidth="1"/>
    <col min="4" max="4" width="7.21875" bestFit="1" customWidth="1"/>
    <col min="5" max="5" width="20.77734375" bestFit="1" customWidth="1"/>
    <col min="6" max="6" width="12.44140625" bestFit="1" customWidth="1"/>
    <col min="7" max="7" width="8.21875" bestFit="1" customWidth="1"/>
    <col min="9" max="9" width="7.109375" customWidth="1"/>
    <col min="10" max="10" width="13.77734375" bestFit="1" customWidth="1"/>
    <col min="11" max="11" width="16.21875" bestFit="1" customWidth="1"/>
  </cols>
  <sheetData>
    <row r="1" spans="1:1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103</v>
      </c>
      <c r="F1" s="1" t="s">
        <v>66</v>
      </c>
      <c r="G1" s="1" t="s">
        <v>4</v>
      </c>
      <c r="H1" s="1" t="s">
        <v>70</v>
      </c>
      <c r="I1" s="1" t="s">
        <v>5</v>
      </c>
      <c r="J1" s="1" t="s">
        <v>67</v>
      </c>
      <c r="K1" s="1" t="s">
        <v>6</v>
      </c>
    </row>
    <row r="2" spans="1:11" x14ac:dyDescent="0.3">
      <c r="A2" s="2" t="s">
        <v>7</v>
      </c>
      <c r="B2" s="2" t="s">
        <v>8</v>
      </c>
      <c r="C2" s="2" t="s">
        <v>9</v>
      </c>
      <c r="D2" s="2">
        <v>30</v>
      </c>
      <c r="E2" s="2">
        <v>1</v>
      </c>
      <c r="F2" s="2">
        <f t="shared" ref="F2:F20" si="0">D2*E2</f>
        <v>30</v>
      </c>
      <c r="G2" s="2" t="s">
        <v>10</v>
      </c>
      <c r="H2" s="2">
        <v>7</v>
      </c>
      <c r="I2" s="2">
        <v>80</v>
      </c>
      <c r="J2" s="2" t="s">
        <v>61</v>
      </c>
      <c r="K2" s="2" t="s">
        <v>56</v>
      </c>
    </row>
    <row r="3" spans="1:11" x14ac:dyDescent="0.3">
      <c r="A3" s="2" t="s">
        <v>11</v>
      </c>
      <c r="B3" s="2" t="s">
        <v>12</v>
      </c>
      <c r="C3" s="2" t="s">
        <v>9</v>
      </c>
      <c r="D3" s="2">
        <v>25</v>
      </c>
      <c r="E3" s="2">
        <v>1</v>
      </c>
      <c r="F3" s="2">
        <f t="shared" si="0"/>
        <v>25</v>
      </c>
      <c r="G3" s="2" t="s">
        <v>10</v>
      </c>
      <c r="H3" s="2">
        <v>6</v>
      </c>
      <c r="I3" s="2">
        <v>82</v>
      </c>
      <c r="J3" s="2" t="s">
        <v>62</v>
      </c>
      <c r="K3" s="2" t="s">
        <v>81</v>
      </c>
    </row>
    <row r="4" spans="1:11" x14ac:dyDescent="0.3">
      <c r="A4" s="2" t="s">
        <v>13</v>
      </c>
      <c r="B4" s="2" t="s">
        <v>14</v>
      </c>
      <c r="C4" s="2" t="s">
        <v>9</v>
      </c>
      <c r="D4" s="2">
        <v>12</v>
      </c>
      <c r="E4" s="2">
        <v>1</v>
      </c>
      <c r="F4" s="2">
        <f t="shared" si="0"/>
        <v>12</v>
      </c>
      <c r="G4" s="2" t="s">
        <v>10</v>
      </c>
      <c r="H4" s="2">
        <v>3</v>
      </c>
      <c r="I4" s="2">
        <v>78</v>
      </c>
      <c r="J4" s="2" t="s">
        <v>63</v>
      </c>
      <c r="K4" s="2" t="s">
        <v>56</v>
      </c>
    </row>
    <row r="5" spans="1:11" x14ac:dyDescent="0.3">
      <c r="A5" s="2" t="s">
        <v>15</v>
      </c>
      <c r="B5" s="2" t="s">
        <v>16</v>
      </c>
      <c r="C5" s="2" t="s">
        <v>9</v>
      </c>
      <c r="D5" s="2">
        <v>5</v>
      </c>
      <c r="E5" s="2">
        <v>1</v>
      </c>
      <c r="F5" s="2">
        <f t="shared" si="0"/>
        <v>5</v>
      </c>
      <c r="G5" s="2" t="s">
        <v>10</v>
      </c>
      <c r="H5" s="2">
        <v>9</v>
      </c>
      <c r="I5" s="2">
        <v>88</v>
      </c>
      <c r="J5" s="2" t="s">
        <v>64</v>
      </c>
      <c r="K5" s="2" t="s">
        <v>82</v>
      </c>
    </row>
    <row r="6" spans="1:11" x14ac:dyDescent="0.3">
      <c r="A6" s="2" t="s">
        <v>17</v>
      </c>
      <c r="B6" s="2" t="s">
        <v>18</v>
      </c>
      <c r="C6" s="2" t="s">
        <v>9</v>
      </c>
      <c r="D6" s="2">
        <v>5</v>
      </c>
      <c r="E6" s="2">
        <v>1</v>
      </c>
      <c r="F6" s="2">
        <f t="shared" si="0"/>
        <v>5</v>
      </c>
      <c r="G6" s="2" t="s">
        <v>10</v>
      </c>
      <c r="H6" s="2">
        <v>2</v>
      </c>
      <c r="I6" s="2">
        <v>75</v>
      </c>
      <c r="J6" s="2" t="s">
        <v>65</v>
      </c>
      <c r="K6" s="2" t="s">
        <v>83</v>
      </c>
    </row>
    <row r="7" spans="1:11" x14ac:dyDescent="0.3">
      <c r="A7" s="2" t="s">
        <v>19</v>
      </c>
      <c r="B7" s="2" t="s">
        <v>20</v>
      </c>
      <c r="C7" s="2" t="s">
        <v>9</v>
      </c>
      <c r="D7" s="2">
        <v>18</v>
      </c>
      <c r="E7" s="2">
        <v>1</v>
      </c>
      <c r="F7" s="2">
        <f t="shared" si="0"/>
        <v>18</v>
      </c>
      <c r="G7" s="2" t="s">
        <v>10</v>
      </c>
      <c r="H7" s="2">
        <v>10</v>
      </c>
      <c r="I7" s="2">
        <v>93</v>
      </c>
      <c r="J7" s="2" t="s">
        <v>60</v>
      </c>
      <c r="K7" s="2" t="s">
        <v>84</v>
      </c>
    </row>
    <row r="8" spans="1:11" x14ac:dyDescent="0.3">
      <c r="A8" s="2" t="s">
        <v>21</v>
      </c>
      <c r="B8" s="2" t="s">
        <v>22</v>
      </c>
      <c r="C8" s="2" t="s">
        <v>23</v>
      </c>
      <c r="D8" s="2">
        <v>56</v>
      </c>
      <c r="E8" s="2">
        <v>1</v>
      </c>
      <c r="F8" s="2">
        <f t="shared" si="0"/>
        <v>56</v>
      </c>
      <c r="G8" s="2" t="s">
        <v>10</v>
      </c>
      <c r="H8" s="2">
        <v>7</v>
      </c>
      <c r="I8" s="2">
        <v>85</v>
      </c>
      <c r="J8" s="2" t="s">
        <v>56</v>
      </c>
      <c r="K8" s="2" t="s">
        <v>98</v>
      </c>
    </row>
    <row r="9" spans="1:11" x14ac:dyDescent="0.3">
      <c r="A9" s="2" t="s">
        <v>24</v>
      </c>
      <c r="B9" s="2" t="s">
        <v>25</v>
      </c>
      <c r="C9" s="2" t="s">
        <v>23</v>
      </c>
      <c r="D9" s="2">
        <v>44</v>
      </c>
      <c r="E9" s="2">
        <v>1</v>
      </c>
      <c r="F9" s="2">
        <f t="shared" si="0"/>
        <v>44</v>
      </c>
      <c r="G9" s="2" t="s">
        <v>10</v>
      </c>
      <c r="H9" s="2">
        <v>6</v>
      </c>
      <c r="I9" s="2">
        <v>82</v>
      </c>
      <c r="J9" s="2" t="s">
        <v>56</v>
      </c>
      <c r="K9" s="2" t="s">
        <v>77</v>
      </c>
    </row>
    <row r="10" spans="1:11" x14ac:dyDescent="0.3">
      <c r="A10" s="2" t="s">
        <v>26</v>
      </c>
      <c r="B10" s="2" t="s">
        <v>27</v>
      </c>
      <c r="C10" s="2" t="s">
        <v>23</v>
      </c>
      <c r="D10" s="2">
        <v>20</v>
      </c>
      <c r="E10" s="2">
        <v>1</v>
      </c>
      <c r="F10" s="2">
        <f t="shared" si="0"/>
        <v>20</v>
      </c>
      <c r="G10" s="2" t="s">
        <v>10</v>
      </c>
      <c r="H10" s="2">
        <v>7</v>
      </c>
      <c r="I10" s="2">
        <v>83</v>
      </c>
      <c r="J10" s="2" t="s">
        <v>56</v>
      </c>
      <c r="K10" s="2" t="s">
        <v>99</v>
      </c>
    </row>
    <row r="11" spans="1:11" x14ac:dyDescent="0.3">
      <c r="A11" s="2" t="s">
        <v>28</v>
      </c>
      <c r="B11" s="2" t="s">
        <v>29</v>
      </c>
      <c r="C11" s="2" t="s">
        <v>23</v>
      </c>
      <c r="D11" s="2">
        <v>25</v>
      </c>
      <c r="E11" s="2">
        <v>3</v>
      </c>
      <c r="F11" s="2">
        <f t="shared" si="0"/>
        <v>75</v>
      </c>
      <c r="G11" s="2" t="s">
        <v>10</v>
      </c>
      <c r="H11" s="2">
        <v>9</v>
      </c>
      <c r="I11" s="2">
        <v>86</v>
      </c>
      <c r="J11" s="2" t="s">
        <v>56</v>
      </c>
      <c r="K11" s="2" t="s">
        <v>100</v>
      </c>
    </row>
    <row r="12" spans="1:11" x14ac:dyDescent="0.3">
      <c r="A12" s="2" t="s">
        <v>30</v>
      </c>
      <c r="B12" s="2" t="s">
        <v>31</v>
      </c>
      <c r="C12" s="2" t="s">
        <v>23</v>
      </c>
      <c r="D12" s="2">
        <v>5</v>
      </c>
      <c r="E12" s="2">
        <v>6</v>
      </c>
      <c r="F12" s="2">
        <f t="shared" si="0"/>
        <v>30</v>
      </c>
      <c r="G12" s="2" t="s">
        <v>10</v>
      </c>
      <c r="H12" s="2">
        <v>8</v>
      </c>
      <c r="I12" s="2">
        <v>88</v>
      </c>
      <c r="J12" s="2" t="s">
        <v>56</v>
      </c>
      <c r="K12" s="2" t="s">
        <v>78</v>
      </c>
    </row>
    <row r="13" spans="1:11" x14ac:dyDescent="0.3">
      <c r="A13" s="2" t="s">
        <v>32</v>
      </c>
      <c r="B13" s="2" t="s">
        <v>33</v>
      </c>
      <c r="C13" s="2" t="s">
        <v>23</v>
      </c>
      <c r="D13" s="2">
        <v>6</v>
      </c>
      <c r="E13" s="2">
        <v>3</v>
      </c>
      <c r="F13" s="2">
        <f t="shared" si="0"/>
        <v>18</v>
      </c>
      <c r="G13" s="2" t="s">
        <v>10</v>
      </c>
      <c r="H13" s="2">
        <v>8</v>
      </c>
      <c r="I13" s="2">
        <v>84</v>
      </c>
      <c r="J13" s="2" t="s">
        <v>56</v>
      </c>
      <c r="K13" s="2" t="s">
        <v>79</v>
      </c>
    </row>
    <row r="14" spans="1:11" x14ac:dyDescent="0.3">
      <c r="A14" s="2" t="s">
        <v>34</v>
      </c>
      <c r="B14" s="2" t="s">
        <v>35</v>
      </c>
      <c r="C14" s="2" t="s">
        <v>23</v>
      </c>
      <c r="D14" s="2">
        <v>250</v>
      </c>
      <c r="E14" s="2">
        <v>1</v>
      </c>
      <c r="F14" s="2">
        <f t="shared" si="0"/>
        <v>250</v>
      </c>
      <c r="G14" s="2" t="s">
        <v>10</v>
      </c>
      <c r="H14" s="2">
        <v>10</v>
      </c>
      <c r="I14" s="2">
        <v>95</v>
      </c>
      <c r="J14" s="2" t="s">
        <v>60</v>
      </c>
      <c r="K14" s="2" t="s">
        <v>80</v>
      </c>
    </row>
    <row r="15" spans="1:11" x14ac:dyDescent="0.3">
      <c r="A15" s="2" t="s">
        <v>36</v>
      </c>
      <c r="B15" s="2" t="s">
        <v>57</v>
      </c>
      <c r="C15" s="2" t="s">
        <v>37</v>
      </c>
      <c r="D15" s="2">
        <v>156</v>
      </c>
      <c r="E15" s="2">
        <v>3</v>
      </c>
      <c r="F15" s="2">
        <f t="shared" si="0"/>
        <v>468</v>
      </c>
      <c r="G15" s="2" t="s">
        <v>10</v>
      </c>
      <c r="H15" s="2">
        <v>10</v>
      </c>
      <c r="I15" s="2">
        <v>90</v>
      </c>
      <c r="J15" s="2" t="s">
        <v>68</v>
      </c>
      <c r="K15" s="2" t="s">
        <v>71</v>
      </c>
    </row>
    <row r="16" spans="1:11" x14ac:dyDescent="0.3">
      <c r="A16" s="2" t="s">
        <v>38</v>
      </c>
      <c r="B16" s="2" t="s">
        <v>39</v>
      </c>
      <c r="C16" s="2" t="s">
        <v>37</v>
      </c>
      <c r="D16" s="2">
        <v>201</v>
      </c>
      <c r="E16" s="2">
        <v>1</v>
      </c>
      <c r="F16" s="2">
        <f t="shared" si="0"/>
        <v>201</v>
      </c>
      <c r="G16" s="2" t="s">
        <v>10</v>
      </c>
      <c r="H16" s="2">
        <v>6</v>
      </c>
      <c r="I16" s="2">
        <v>85</v>
      </c>
      <c r="J16" s="2" t="s">
        <v>69</v>
      </c>
      <c r="K16" s="2" t="s">
        <v>72</v>
      </c>
    </row>
    <row r="17" spans="1:11" x14ac:dyDescent="0.3">
      <c r="A17" s="2" t="s">
        <v>40</v>
      </c>
      <c r="B17" s="2" t="s">
        <v>41</v>
      </c>
      <c r="C17" s="2" t="s">
        <v>37</v>
      </c>
      <c r="D17" s="2">
        <v>301</v>
      </c>
      <c r="E17" s="2">
        <v>1</v>
      </c>
      <c r="F17" s="2">
        <f t="shared" si="0"/>
        <v>301</v>
      </c>
      <c r="G17" s="2" t="s">
        <v>10</v>
      </c>
      <c r="H17" s="2">
        <v>10</v>
      </c>
      <c r="I17" s="2">
        <v>92</v>
      </c>
      <c r="J17" s="2" t="s">
        <v>41</v>
      </c>
      <c r="K17" s="2" t="s">
        <v>73</v>
      </c>
    </row>
    <row r="18" spans="1:11" x14ac:dyDescent="0.3">
      <c r="A18" s="2" t="s">
        <v>42</v>
      </c>
      <c r="B18" s="2" t="s">
        <v>43</v>
      </c>
      <c r="C18" s="2" t="s">
        <v>37</v>
      </c>
      <c r="D18" s="2">
        <v>120</v>
      </c>
      <c r="E18" s="2">
        <v>1</v>
      </c>
      <c r="F18" s="2">
        <f t="shared" si="0"/>
        <v>120</v>
      </c>
      <c r="G18" s="2" t="s">
        <v>10</v>
      </c>
      <c r="H18" s="2">
        <v>6</v>
      </c>
      <c r="I18" s="2">
        <v>88</v>
      </c>
      <c r="J18" s="2" t="s">
        <v>59</v>
      </c>
      <c r="K18" s="2" t="s">
        <v>74</v>
      </c>
    </row>
    <row r="19" spans="1:11" x14ac:dyDescent="0.3">
      <c r="A19" s="2" t="s">
        <v>44</v>
      </c>
      <c r="B19" s="2" t="s">
        <v>58</v>
      </c>
      <c r="C19" s="2" t="s">
        <v>37</v>
      </c>
      <c r="D19" s="2">
        <v>100</v>
      </c>
      <c r="E19" s="2">
        <v>6</v>
      </c>
      <c r="F19" s="2">
        <f t="shared" si="0"/>
        <v>600</v>
      </c>
      <c r="G19" s="2" t="s">
        <v>10</v>
      </c>
      <c r="H19" s="2">
        <v>9</v>
      </c>
      <c r="I19" s="2">
        <v>90</v>
      </c>
      <c r="J19" s="2" t="s">
        <v>68</v>
      </c>
      <c r="K19" s="2" t="s">
        <v>75</v>
      </c>
    </row>
    <row r="20" spans="1:11" x14ac:dyDescent="0.3">
      <c r="A20" s="2" t="s">
        <v>45</v>
      </c>
      <c r="B20" s="2" t="s">
        <v>46</v>
      </c>
      <c r="C20" s="2" t="s">
        <v>37</v>
      </c>
      <c r="D20" s="2">
        <v>140</v>
      </c>
      <c r="E20" s="2">
        <v>3</v>
      </c>
      <c r="F20" s="2">
        <f t="shared" si="0"/>
        <v>420</v>
      </c>
      <c r="G20" s="2" t="s">
        <v>10</v>
      </c>
      <c r="H20" s="2">
        <v>9</v>
      </c>
      <c r="I20" s="2">
        <v>87</v>
      </c>
      <c r="J20" s="2" t="s">
        <v>69</v>
      </c>
      <c r="K20" s="2" t="s">
        <v>76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G21" sqref="G21"/>
    </sheetView>
  </sheetViews>
  <sheetFormatPr defaultRowHeight="14.4" x14ac:dyDescent="0.3"/>
  <cols>
    <col min="2" max="2" width="25.5546875" bestFit="1" customWidth="1"/>
    <col min="4" max="4" width="33.6640625" bestFit="1" customWidth="1"/>
    <col min="6" max="6" width="11.6640625" bestFit="1" customWidth="1"/>
    <col min="7" max="7" width="14.44140625" bestFit="1" customWidth="1"/>
    <col min="8" max="8" width="14.5546875" customWidth="1"/>
    <col min="9" max="9" width="12.109375" customWidth="1"/>
  </cols>
  <sheetData>
    <row r="1" spans="1:9" s="3" customFormat="1" ht="23.4" customHeight="1" x14ac:dyDescent="0.3">
      <c r="A1" s="4" t="s">
        <v>0</v>
      </c>
      <c r="B1" s="4" t="s">
        <v>1</v>
      </c>
      <c r="C1" s="4" t="s">
        <v>2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</row>
    <row r="2" spans="1:9" x14ac:dyDescent="0.3">
      <c r="A2" s="2" t="s">
        <v>7</v>
      </c>
      <c r="B2" s="2" t="s">
        <v>8</v>
      </c>
      <c r="C2" s="2" t="s">
        <v>9</v>
      </c>
      <c r="D2" s="2" t="s">
        <v>88</v>
      </c>
      <c r="E2" s="5">
        <v>80</v>
      </c>
      <c r="F2" s="2">
        <v>90</v>
      </c>
      <c r="G2" s="2" t="s">
        <v>54</v>
      </c>
      <c r="H2" s="2" t="s">
        <v>55</v>
      </c>
      <c r="I2" s="2" t="s">
        <v>56</v>
      </c>
    </row>
    <row r="3" spans="1:9" x14ac:dyDescent="0.3">
      <c r="A3" s="2" t="s">
        <v>11</v>
      </c>
      <c r="B3" s="2" t="s">
        <v>12</v>
      </c>
      <c r="C3" s="2" t="s">
        <v>9</v>
      </c>
      <c r="D3" s="2" t="s">
        <v>89</v>
      </c>
      <c r="E3" s="2">
        <v>90</v>
      </c>
      <c r="F3" s="2">
        <v>95</v>
      </c>
      <c r="G3" s="2" t="s">
        <v>54</v>
      </c>
      <c r="H3" s="2" t="s">
        <v>55</v>
      </c>
      <c r="I3" s="2" t="s">
        <v>56</v>
      </c>
    </row>
    <row r="4" spans="1:9" x14ac:dyDescent="0.3">
      <c r="A4" s="2" t="s">
        <v>13</v>
      </c>
      <c r="B4" s="2" t="s">
        <v>14</v>
      </c>
      <c r="C4" s="2" t="s">
        <v>9</v>
      </c>
      <c r="D4" s="2" t="s">
        <v>90</v>
      </c>
      <c r="E4" s="2">
        <v>95</v>
      </c>
      <c r="F4" s="2">
        <v>97</v>
      </c>
      <c r="G4" s="2" t="s">
        <v>54</v>
      </c>
      <c r="H4" s="2" t="s">
        <v>55</v>
      </c>
      <c r="I4" s="2" t="s">
        <v>56</v>
      </c>
    </row>
    <row r="5" spans="1:9" x14ac:dyDescent="0.3">
      <c r="A5" s="2" t="s">
        <v>15</v>
      </c>
      <c r="B5" s="2" t="s">
        <v>16</v>
      </c>
      <c r="C5" s="2" t="s">
        <v>9</v>
      </c>
      <c r="D5" s="2" t="s">
        <v>86</v>
      </c>
      <c r="E5" s="2">
        <v>100</v>
      </c>
      <c r="F5" s="2">
        <v>80</v>
      </c>
      <c r="G5" s="2" t="s">
        <v>54</v>
      </c>
      <c r="H5" s="2" t="s">
        <v>55</v>
      </c>
      <c r="I5" s="2" t="s">
        <v>56</v>
      </c>
    </row>
    <row r="6" spans="1:9" x14ac:dyDescent="0.3">
      <c r="A6" s="2" t="s">
        <v>17</v>
      </c>
      <c r="B6" s="2" t="s">
        <v>18</v>
      </c>
      <c r="C6" s="2" t="s">
        <v>9</v>
      </c>
      <c r="D6" s="2" t="s">
        <v>95</v>
      </c>
      <c r="E6" s="2">
        <v>100</v>
      </c>
      <c r="F6" s="2">
        <v>100</v>
      </c>
      <c r="G6" s="2" t="s">
        <v>54</v>
      </c>
      <c r="H6" s="2" t="s">
        <v>55</v>
      </c>
      <c r="I6" s="2" t="s">
        <v>56</v>
      </c>
    </row>
    <row r="7" spans="1:9" x14ac:dyDescent="0.3">
      <c r="A7" s="2" t="s">
        <v>19</v>
      </c>
      <c r="B7" s="2" t="s">
        <v>20</v>
      </c>
      <c r="C7" s="2" t="s">
        <v>9</v>
      </c>
      <c r="D7" s="2" t="s">
        <v>87</v>
      </c>
      <c r="E7" s="2">
        <v>20</v>
      </c>
      <c r="F7" s="2">
        <v>0</v>
      </c>
      <c r="G7" s="2" t="s">
        <v>54</v>
      </c>
      <c r="H7" s="2" t="s">
        <v>55</v>
      </c>
      <c r="I7" s="2" t="s">
        <v>56</v>
      </c>
    </row>
    <row r="8" spans="1:9" x14ac:dyDescent="0.3">
      <c r="A8" s="2" t="s">
        <v>21</v>
      </c>
      <c r="B8" s="2" t="s">
        <v>22</v>
      </c>
      <c r="C8" s="2" t="s">
        <v>23</v>
      </c>
      <c r="D8" s="2" t="s">
        <v>53</v>
      </c>
      <c r="E8" s="2">
        <v>80</v>
      </c>
      <c r="F8" s="2">
        <v>96</v>
      </c>
      <c r="G8" s="2" t="s">
        <v>54</v>
      </c>
      <c r="H8" s="2" t="s">
        <v>55</v>
      </c>
      <c r="I8" s="2" t="s">
        <v>56</v>
      </c>
    </row>
    <row r="9" spans="1:9" x14ac:dyDescent="0.3">
      <c r="A9" s="2" t="s">
        <v>24</v>
      </c>
      <c r="B9" s="2" t="s">
        <v>25</v>
      </c>
      <c r="C9" s="2" t="s">
        <v>23</v>
      </c>
      <c r="D9" s="2" t="s">
        <v>53</v>
      </c>
      <c r="E9" s="2">
        <v>80</v>
      </c>
      <c r="F9" s="2">
        <v>85</v>
      </c>
      <c r="G9" s="2" t="s">
        <v>54</v>
      </c>
      <c r="H9" s="2" t="s">
        <v>55</v>
      </c>
      <c r="I9" s="2" t="s">
        <v>56</v>
      </c>
    </row>
    <row r="10" spans="1:9" x14ac:dyDescent="0.3">
      <c r="A10" s="2" t="s">
        <v>26</v>
      </c>
      <c r="B10" s="2" t="s">
        <v>27</v>
      </c>
      <c r="C10" s="2" t="s">
        <v>23</v>
      </c>
      <c r="D10" s="2" t="s">
        <v>53</v>
      </c>
      <c r="E10" s="2">
        <v>80</v>
      </c>
      <c r="F10" s="2">
        <v>93</v>
      </c>
      <c r="G10" s="2" t="s">
        <v>54</v>
      </c>
      <c r="H10" s="2" t="s">
        <v>55</v>
      </c>
      <c r="I10" s="2" t="s">
        <v>56</v>
      </c>
    </row>
    <row r="11" spans="1:9" x14ac:dyDescent="0.3">
      <c r="A11" s="2" t="s">
        <v>28</v>
      </c>
      <c r="B11" s="2" t="s">
        <v>29</v>
      </c>
      <c r="C11" s="2" t="s">
        <v>23</v>
      </c>
      <c r="D11" s="2" t="s">
        <v>53</v>
      </c>
      <c r="E11" s="2">
        <v>80</v>
      </c>
      <c r="F11" s="2">
        <v>98</v>
      </c>
      <c r="G11" s="2" t="s">
        <v>54</v>
      </c>
      <c r="H11" s="2" t="s">
        <v>55</v>
      </c>
      <c r="I11" s="2" t="s">
        <v>56</v>
      </c>
    </row>
    <row r="12" spans="1:9" x14ac:dyDescent="0.3">
      <c r="A12" s="2" t="s">
        <v>30</v>
      </c>
      <c r="B12" s="2" t="s">
        <v>31</v>
      </c>
      <c r="C12" s="2" t="s">
        <v>23</v>
      </c>
      <c r="D12" s="2" t="s">
        <v>53</v>
      </c>
      <c r="E12" s="2">
        <v>80</v>
      </c>
      <c r="F12" s="2">
        <v>90</v>
      </c>
      <c r="G12" s="2" t="s">
        <v>54</v>
      </c>
      <c r="H12" s="2" t="s">
        <v>55</v>
      </c>
      <c r="I12" s="2" t="s">
        <v>56</v>
      </c>
    </row>
    <row r="13" spans="1:9" x14ac:dyDescent="0.3">
      <c r="A13" s="2" t="s">
        <v>32</v>
      </c>
      <c r="B13" s="2" t="s">
        <v>33</v>
      </c>
      <c r="C13" s="2" t="s">
        <v>23</v>
      </c>
      <c r="D13" s="2" t="s">
        <v>53</v>
      </c>
      <c r="E13" s="2">
        <v>80</v>
      </c>
      <c r="F13" s="2">
        <v>82</v>
      </c>
      <c r="G13" s="2" t="s">
        <v>54</v>
      </c>
      <c r="H13" s="2" t="s">
        <v>55</v>
      </c>
      <c r="I13" s="2" t="s">
        <v>56</v>
      </c>
    </row>
    <row r="14" spans="1:9" x14ac:dyDescent="0.3">
      <c r="A14" s="2" t="s">
        <v>34</v>
      </c>
      <c r="B14" s="2" t="s">
        <v>35</v>
      </c>
      <c r="C14" s="2" t="s">
        <v>23</v>
      </c>
      <c r="D14" s="2" t="s">
        <v>53</v>
      </c>
      <c r="E14" s="2">
        <v>80</v>
      </c>
      <c r="F14" s="2">
        <v>99</v>
      </c>
      <c r="G14" s="2" t="s">
        <v>54</v>
      </c>
      <c r="H14" s="2" t="s">
        <v>55</v>
      </c>
      <c r="I14" s="2" t="s">
        <v>56</v>
      </c>
    </row>
    <row r="15" spans="1:9" x14ac:dyDescent="0.3">
      <c r="A15" s="2" t="s">
        <v>36</v>
      </c>
      <c r="B15" s="2" t="s">
        <v>91</v>
      </c>
      <c r="C15" s="2" t="s">
        <v>37</v>
      </c>
      <c r="D15" s="2" t="s">
        <v>94</v>
      </c>
      <c r="E15" s="2">
        <v>50</v>
      </c>
      <c r="F15" s="2">
        <v>75</v>
      </c>
      <c r="G15" s="2" t="s">
        <v>54</v>
      </c>
      <c r="H15" s="2" t="s">
        <v>101</v>
      </c>
      <c r="I15" s="2" t="s">
        <v>56</v>
      </c>
    </row>
    <row r="16" spans="1:9" x14ac:dyDescent="0.3">
      <c r="A16" s="2" t="s">
        <v>38</v>
      </c>
      <c r="B16" s="2" t="s">
        <v>39</v>
      </c>
      <c r="C16" s="2" t="s">
        <v>37</v>
      </c>
      <c r="D16" s="2" t="s">
        <v>93</v>
      </c>
      <c r="E16" s="2">
        <v>8</v>
      </c>
      <c r="F16" s="2">
        <v>5</v>
      </c>
      <c r="G16" s="2" t="s">
        <v>54</v>
      </c>
      <c r="H16" s="2" t="s">
        <v>101</v>
      </c>
      <c r="I16" s="2" t="s">
        <v>56</v>
      </c>
    </row>
    <row r="17" spans="1:9" x14ac:dyDescent="0.3">
      <c r="A17" s="2" t="s">
        <v>40</v>
      </c>
      <c r="B17" s="2" t="s">
        <v>41</v>
      </c>
      <c r="C17" s="2" t="s">
        <v>37</v>
      </c>
      <c r="D17" s="2" t="s">
        <v>85</v>
      </c>
      <c r="E17" s="2">
        <v>50</v>
      </c>
      <c r="F17" s="2">
        <v>90</v>
      </c>
      <c r="G17" s="2" t="s">
        <v>54</v>
      </c>
      <c r="H17" s="2" t="s">
        <v>101</v>
      </c>
      <c r="I17" s="2" t="s">
        <v>56</v>
      </c>
    </row>
    <row r="18" spans="1:9" x14ac:dyDescent="0.3">
      <c r="A18" s="2" t="s">
        <v>42</v>
      </c>
      <c r="B18" s="2" t="s">
        <v>43</v>
      </c>
      <c r="C18" s="2" t="s">
        <v>37</v>
      </c>
      <c r="D18" s="2" t="s">
        <v>96</v>
      </c>
      <c r="E18" s="2">
        <v>30</v>
      </c>
      <c r="F18" s="2">
        <v>38</v>
      </c>
      <c r="G18" s="2" t="s">
        <v>54</v>
      </c>
      <c r="H18" s="2" t="s">
        <v>101</v>
      </c>
      <c r="I18" s="2" t="s">
        <v>56</v>
      </c>
    </row>
    <row r="19" spans="1:9" x14ac:dyDescent="0.3">
      <c r="A19" s="2" t="s">
        <v>44</v>
      </c>
      <c r="B19" s="2" t="s">
        <v>92</v>
      </c>
      <c r="C19" s="2" t="s">
        <v>37</v>
      </c>
      <c r="D19" s="2" t="s">
        <v>97</v>
      </c>
      <c r="E19" s="2">
        <v>40</v>
      </c>
      <c r="F19" s="2">
        <v>25</v>
      </c>
      <c r="G19" s="2" t="s">
        <v>54</v>
      </c>
      <c r="H19" s="2" t="s">
        <v>101</v>
      </c>
      <c r="I19" s="2" t="s">
        <v>56</v>
      </c>
    </row>
    <row r="20" spans="1:9" x14ac:dyDescent="0.3">
      <c r="A20" s="2" t="s">
        <v>45</v>
      </c>
      <c r="B20" s="2" t="s">
        <v>46</v>
      </c>
      <c r="C20" s="2" t="s">
        <v>37</v>
      </c>
      <c r="D20" s="2" t="s">
        <v>102</v>
      </c>
      <c r="E20" s="2">
        <v>10</v>
      </c>
      <c r="F20" s="2">
        <v>12</v>
      </c>
      <c r="G20" s="2" t="s">
        <v>54</v>
      </c>
      <c r="H20" s="2" t="s">
        <v>101</v>
      </c>
      <c r="I20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Engineering_Data</vt:lpstr>
      <vt:lpstr>Quality_Data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 Lingayat</cp:lastModifiedBy>
  <dcterms:created xsi:type="dcterms:W3CDTF">2026-04-23T11:32:02Z</dcterms:created>
  <dcterms:modified xsi:type="dcterms:W3CDTF">2026-04-25T14:40:26Z</dcterms:modified>
</cp:coreProperties>
</file>